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구매참고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0&quot;%&quot;;[Red]-0&quot;%&quot;"/>
    <numFmt numFmtId="166" formatCode="0&quot;%&quot;"/>
  </numFmts>
  <fonts count="15">
    <font>
      <name val="Calibri"/>
      <family val="2"/>
      <color theme="1"/>
      <sz val="11"/>
      <scheme val="minor"/>
    </font>
    <font>
      <name val="맑은 고딕"/>
      <b val="1"/>
      <color rgb="00B91C1C"/>
      <sz val="14"/>
    </font>
    <font>
      <name val="맑은 고딕"/>
      <color rgb="006B7280"/>
      <sz val="9"/>
    </font>
    <font>
      <name val="맑은 고딕"/>
      <b val="1"/>
      <color rgb="00FFFFFF"/>
    </font>
    <font>
      <name val="맑은 고딕"/>
      <b val="1"/>
      <color rgb="0012315E"/>
      <sz val="10"/>
    </font>
    <font>
      <name val="맑은 고딕"/>
      <sz val="9"/>
    </font>
    <font>
      <name val="맑은 고딕"/>
      <b val="1"/>
      <sz val="9"/>
    </font>
    <font>
      <name val="맑은 고딕"/>
      <sz val="8.5"/>
    </font>
    <font>
      <name val="맑은 고딕"/>
      <b val="1"/>
      <color rgb="0012315E"/>
      <sz val="8.5"/>
    </font>
    <font>
      <name val="맑은 고딕"/>
      <sz val="10"/>
    </font>
    <font>
      <name val="맑은 고딕"/>
      <color rgb="006B7280"/>
      <sz val="8"/>
    </font>
    <font>
      <name val="맑은 고딕"/>
      <b val="1"/>
      <color rgb="0012315E"/>
    </font>
    <font>
      <name val="맑은 고딕"/>
      <color rgb="006B7280"/>
      <sz val="8.5"/>
    </font>
    <font>
      <name val="맑은 고딕"/>
      <color rgb="00374151"/>
      <sz val="8.5"/>
    </font>
    <font>
      <name val="맑은 고딕"/>
      <color rgb="00B91C1C"/>
      <sz val="8.5"/>
    </font>
  </fonts>
  <fills count="5">
    <fill>
      <patternFill/>
    </fill>
    <fill>
      <patternFill patternType="gray125"/>
    </fill>
    <fill>
      <patternFill patternType="solid">
        <fgColor rgb="0012315E"/>
      </patternFill>
    </fill>
    <fill>
      <patternFill patternType="solid">
        <fgColor rgb="00DCE6F5"/>
      </patternFill>
    </fill>
    <fill>
      <patternFill patternType="solid">
        <fgColor rgb="00FDE68A"/>
      </patternFill>
    </fill>
  </fills>
  <borders count="2">
    <border>
      <left/>
      <right/>
      <top/>
      <bottom/>
      <diagonal/>
    </border>
    <border>
      <left style="thin">
        <color rgb="00B8C2D0"/>
      </left>
      <right style="thin">
        <color rgb="00B8C2D0"/>
      </right>
      <top style="thin">
        <color rgb="00B8C2D0"/>
      </top>
      <bottom style="thin">
        <color rgb="00B8C2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3" fontId="11" fillId="4" borderId="1" applyAlignment="1" pivotButton="0" quotePrefix="0" xfId="0">
      <alignment horizontal="right" vertical="center"/>
    </xf>
    <xf numFmtId="166" fontId="11" fillId="4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5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24" customWidth="1" min="3" max="3"/>
    <col width="26" customWidth="1" min="4" max="4"/>
    <col width="30" customWidth="1" min="5" max="5"/>
    <col width="13" customWidth="1" min="6" max="6"/>
    <col width="6" customWidth="1" min="7" max="7"/>
    <col width="13" customWidth="1" min="8" max="8"/>
    <col width="13" customWidth="1" min="9" max="9"/>
    <col width="10" customWidth="1" min="10" max="10"/>
    <col width="28" customWidth="1" min="11" max="11"/>
  </cols>
  <sheetData>
    <row r="1" ht="28" customHeight="1">
      <c r="A1" s="1" t="inlineStr">
        <is>
          <t>[내부 관리용 · 대외비] 광안 보안등 조명제어 — 구매참고 BOM (실모델·시장가·마진)</t>
        </is>
      </c>
    </row>
    <row r="2" ht="18" customHeight="1">
      <c r="A2" s="2" t="inlineStr">
        <is>
          <t>※ 외부 제출 금지. 견적서(대외용)의 원가·마진 검토 및 발주 참고용. 전용기기(MRBAS ELC)는 발주 전 제조사 실견적 필수. 작성 2026-07-24 / UTTEC</t>
        </is>
      </c>
    </row>
    <row r="4" ht="30" customHeight="1">
      <c r="A4" s="3" t="inlineStr">
        <is>
          <t>No</t>
        </is>
      </c>
      <c r="B4" s="3" t="inlineStr">
        <is>
          <t>구분</t>
        </is>
      </c>
      <c r="C4" s="3" t="inlineStr">
        <is>
          <t>품목</t>
        </is>
      </c>
      <c r="D4" s="3" t="inlineStr">
        <is>
          <t>도면 사양</t>
        </is>
      </c>
      <c r="E4" s="3" t="inlineStr">
        <is>
          <t>권장 제조사·모델</t>
        </is>
      </c>
      <c r="F4" s="3" t="inlineStr">
        <is>
          <t>시장단가(추정)</t>
        </is>
      </c>
      <c r="G4" s="3" t="inlineStr">
        <is>
          <t>신뢰도</t>
        </is>
      </c>
      <c r="H4" s="3" t="inlineStr">
        <is>
          <t>견적단가</t>
        </is>
      </c>
      <c r="I4" s="3" t="inlineStr">
        <is>
          <t>단가차이</t>
        </is>
      </c>
      <c r="J4" s="3" t="inlineStr">
        <is>
          <t>마진%</t>
        </is>
      </c>
      <c r="K4" s="3" t="inlineStr">
        <is>
          <t>구매처·비고</t>
        </is>
      </c>
    </row>
    <row r="5" ht="20" customHeight="1">
      <c r="A5" s="4" t="inlineStr">
        <is>
          <t>1. 조명제어 전용기기 (㈜엠알바스 MRBAS · ELC SYSTEM — 도면 'Excellent Lighting Controls')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30" customHeight="1">
      <c r="A6" s="6" t="n">
        <v>1</v>
      </c>
      <c r="B6" s="6" t="inlineStr">
        <is>
          <t>자재</t>
        </is>
      </c>
      <c r="C6" s="7" t="inlineStr">
        <is>
          <t>중앙전송장치 SCU</t>
        </is>
      </c>
      <c r="D6" s="8" t="inlineStr">
        <is>
          <t>32bit MCU, RS485 ELC+Ethernet+MODBUS, 999모듈</t>
        </is>
      </c>
      <c r="E6" s="9" t="inlineStr">
        <is>
          <t>MRBAS ELC 'SCU' (System Communication Unit)</t>
        </is>
      </c>
      <c r="F6" s="10" t="n">
        <v>1900000</v>
      </c>
      <c r="G6" s="11" t="inlineStr">
        <is>
          <t>○</t>
        </is>
      </c>
      <c r="H6" s="10" t="n">
        <v>1800000</v>
      </c>
      <c r="I6" s="12">
        <f>H6-F6</f>
        <v/>
      </c>
      <c r="J6" s="13">
        <f>IF(F6=0,"",ROUND((H6-F6)/F6*100,0))</f>
        <v/>
      </c>
      <c r="K6" s="14" t="inlineStr">
        <is>
          <t>제조사 직견적 필수 (전용)</t>
        </is>
      </c>
    </row>
    <row r="7" ht="30" customHeight="1">
      <c r="A7" s="6" t="n">
        <v>2</v>
      </c>
      <c r="B7" s="6" t="inlineStr">
        <is>
          <t>자재</t>
        </is>
      </c>
      <c r="C7" s="7" t="inlineStr">
        <is>
          <t>0-10V 디밍모듈 8ch</t>
        </is>
      </c>
      <c r="D7" s="8" t="inlineStr">
        <is>
          <t>0-10V 디밍 8ch, 0~254단계</t>
        </is>
      </c>
      <c r="E7" s="9" t="inlineStr">
        <is>
          <t>MRBAS '0-10V Dimming Module'(DCM/LDCM계열)</t>
        </is>
      </c>
      <c r="F7" s="10" t="n">
        <v>1300000</v>
      </c>
      <c r="G7" s="11" t="inlineStr">
        <is>
          <t>○</t>
        </is>
      </c>
      <c r="H7" s="10" t="n">
        <v>1200000</v>
      </c>
      <c r="I7" s="12">
        <f>H7-F7</f>
        <v/>
      </c>
      <c r="J7" s="13">
        <f>IF(F7=0,"",ROUND((H7-F7)/F7*100,0))</f>
        <v/>
      </c>
      <c r="K7" s="14" t="inlineStr">
        <is>
          <t>제조사 견적 / 릴레이 별도 여부 확인</t>
        </is>
      </c>
    </row>
    <row r="8" ht="30" customHeight="1">
      <c r="A8" s="6" t="n">
        <v>3</v>
      </c>
      <c r="B8" s="6" t="inlineStr">
        <is>
          <t>자재</t>
        </is>
      </c>
      <c r="C8" s="7" t="inlineStr">
        <is>
          <t>릴레이모듈 (16A 래칭 8접점)</t>
        </is>
      </c>
      <c r="D8" s="8" t="inlineStr">
        <is>
          <t>16A 래칭릴레이 R1~8</t>
        </is>
      </c>
      <c r="E8" s="9" t="inlineStr">
        <is>
          <t>MRBAS '6eRM-w/16a' + LR-9P 릴레이(플러그인)</t>
        </is>
      </c>
      <c r="F8" s="10" t="n">
        <v>750000</v>
      </c>
      <c r="G8" s="11" t="inlineStr">
        <is>
          <t>○</t>
        </is>
      </c>
      <c r="H8" s="10" t="n">
        <v>0</v>
      </c>
      <c r="I8" s="12">
        <f>H8-F8</f>
        <v/>
      </c>
      <c r="J8" s="13">
        <f>IF(F8=0,"",ROUND((H8-F8)/F8*100,0))</f>
        <v/>
      </c>
      <c r="K8" s="14" t="inlineStr">
        <is>
          <t>도면상 디밍모듈에 포함 표기 — 실제 별도품일 수 있음(원가확인용 분리)</t>
        </is>
      </c>
    </row>
    <row r="9" ht="30" customHeight="1">
      <c r="A9" s="6" t="n">
        <v>4</v>
      </c>
      <c r="B9" s="6" t="inlineStr">
        <is>
          <t>자재</t>
        </is>
      </c>
      <c r="C9" s="7" t="inlineStr">
        <is>
          <t>전원공급장치</t>
        </is>
      </c>
      <c r="D9" s="8" t="inlineStr">
        <is>
          <t>AC220V→24VAC 60Hz, 60VA</t>
        </is>
      </c>
      <c r="E9" s="9" t="inlineStr">
        <is>
          <t>MRBAS 'RPWR' (AC220/DC24V, 40W)</t>
        </is>
      </c>
      <c r="F9" s="10" t="n">
        <v>320000</v>
      </c>
      <c r="G9" s="11" t="inlineStr">
        <is>
          <t>○</t>
        </is>
      </c>
      <c r="H9" s="10" t="n">
        <v>350000</v>
      </c>
      <c r="I9" s="12">
        <f>H9-F9</f>
        <v/>
      </c>
      <c r="J9" s="13">
        <f>IF(F9=0,"",ROUND((H9-F9)/F9*100,0))</f>
        <v/>
      </c>
      <c r="K9" s="14" t="inlineStr">
        <is>
          <t>제조사 견적</t>
        </is>
      </c>
    </row>
    <row r="10" ht="30" customHeight="1">
      <c r="A10" s="6" t="n">
        <v>5</v>
      </c>
      <c r="B10" s="6" t="inlineStr">
        <is>
          <t>자재</t>
        </is>
      </c>
      <c r="C10" s="7" t="inlineStr">
        <is>
          <t>HMI 관제 소프트웨어</t>
        </is>
      </c>
      <c r="D10" s="8" t="inlineStr">
        <is>
          <t>조명제어 HMI, GS·BTL 인증</t>
        </is>
      </c>
      <c r="E10" s="9" t="inlineStr">
        <is>
          <t>MRBAS ELC 중앙관제 S/W (라이선스)</t>
        </is>
      </c>
      <c r="F10" s="10" t="n">
        <v>4000000</v>
      </c>
      <c r="G10" s="11" t="inlineStr">
        <is>
          <t>○</t>
        </is>
      </c>
      <c r="H10" s="10" t="n">
        <v>4500000</v>
      </c>
      <c r="I10" s="12">
        <f>H10-F10</f>
        <v/>
      </c>
      <c r="J10" s="13">
        <f>IF(F10=0,"",ROUND((H10-F10)/F10*100,0))</f>
        <v/>
      </c>
      <c r="K10" s="14" t="inlineStr">
        <is>
          <t>전용 라이선스 — 제조사 견적 필수(변동 큼)</t>
        </is>
      </c>
    </row>
    <row r="11" ht="20" customHeight="1">
      <c r="A11" s="4" t="inlineStr">
        <is>
          <t>2. 조명제어반 LCP-0 함체·배전 (표준 전기자재)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 ht="30" customHeight="1">
      <c r="A12" s="6" t="n">
        <v>6</v>
      </c>
      <c r="B12" s="6" t="inlineStr">
        <is>
          <t>자재</t>
        </is>
      </c>
      <c r="C12" s="7" t="inlineStr">
        <is>
          <t>제어반 외함</t>
        </is>
      </c>
      <c r="D12" s="8" t="inlineStr">
        <is>
          <t>STEEL 400×1600×180, 자립/벽부, 도장·명판</t>
        </is>
      </c>
      <c r="E12" s="9" t="inlineStr">
        <is>
          <t>탑박스/박스파라 등 제작 (STEEL 함체)</t>
        </is>
      </c>
      <c r="F12" s="10" t="n">
        <v>700000</v>
      </c>
      <c r="G12" s="11" t="inlineStr">
        <is>
          <t>◐</t>
        </is>
      </c>
      <c r="H12" s="10" t="n">
        <v>1500000</v>
      </c>
      <c r="I12" s="12">
        <f>H12-F12</f>
        <v/>
      </c>
      <c r="J12" s="13">
        <f>IF(F12=0,"",ROUND((H12-F12)/F12*100,0))</f>
        <v/>
      </c>
      <c r="K12" s="14" t="inlineStr">
        <is>
          <t>topbox.co.kr / boxpara.com 제작견적</t>
        </is>
      </c>
    </row>
    <row r="13" ht="30" customHeight="1">
      <c r="A13" s="6" t="n">
        <v>7</v>
      </c>
      <c r="B13" s="6" t="inlineStr">
        <is>
          <t>자재</t>
        </is>
      </c>
      <c r="C13" s="7" t="inlineStr">
        <is>
          <t>속판·덕트·레일·명판</t>
        </is>
      </c>
      <c r="D13" s="8" t="inlineStr">
        <is>
          <t>내부 마운팅 자재</t>
        </is>
      </c>
      <c r="E13" s="9" t="inlineStr">
        <is>
          <t>함체업체 부속 (속판 세트)</t>
        </is>
      </c>
      <c r="F13" s="10" t="n">
        <v>220000</v>
      </c>
      <c r="G13" s="11" t="inlineStr">
        <is>
          <t>◐</t>
        </is>
      </c>
      <c r="H13" s="10" t="n">
        <v>350000</v>
      </c>
      <c r="I13" s="12">
        <f>H13-F13</f>
        <v/>
      </c>
      <c r="J13" s="13">
        <f>IF(F13=0,"",ROUND((H13-F13)/F13*100,0))</f>
        <v/>
      </c>
      <c r="K13" s="14" t="inlineStr">
        <is>
          <t>함체와 동시 발주</t>
        </is>
      </c>
    </row>
    <row r="14" ht="30" customHeight="1">
      <c r="A14" s="6" t="n">
        <v>8</v>
      </c>
      <c r="B14" s="6" t="inlineStr">
        <is>
          <t>자재</t>
        </is>
      </c>
      <c r="C14" s="7" t="inlineStr">
        <is>
          <t>주차단기·회로차단기</t>
        </is>
      </c>
      <c r="D14" s="8" t="inlineStr">
        <is>
          <t>주MCCB 1 + 회로ELB 6~7</t>
        </is>
      </c>
      <c r="E14" s="9" t="inlineStr">
        <is>
          <t>LS ELECTRIC 주 ABS103c 3P + 회로 EBS53c 3P ×7</t>
        </is>
      </c>
      <c r="F14" s="10" t="n">
        <v>380000</v>
      </c>
      <c r="G14" s="11" t="inlineStr">
        <is>
          <t>●</t>
        </is>
      </c>
      <c r="H14" s="10" t="n">
        <v>700000</v>
      </c>
      <c r="I14" s="12">
        <f>H14-F14</f>
        <v/>
      </c>
      <c r="J14" s="13">
        <f>IF(F14=0,"",ROUND((H14-F14)/F14*100,0))</f>
        <v/>
      </c>
      <c r="K14" s="14" t="inlineStr">
        <is>
          <t>ABE33B 3P30A≈30,940 / EBS54C ELB (풍림·2sk·speedmall)</t>
        </is>
      </c>
    </row>
    <row r="15" ht="30" customHeight="1">
      <c r="A15" s="6" t="n">
        <v>9</v>
      </c>
      <c r="B15" s="6" t="inlineStr">
        <is>
          <t>자재</t>
        </is>
      </c>
      <c r="C15" s="7" t="inlineStr">
        <is>
          <t>단자대·제어배선자재</t>
        </is>
      </c>
      <c r="D15" s="8" t="inlineStr">
        <is>
          <t>터미널블록, 제어선, 압착단자</t>
        </is>
      </c>
      <c r="E15" s="9" t="inlineStr">
        <is>
          <t>진흥전기/광명전기 or Phoenix/WAGO 단자</t>
        </is>
      </c>
      <c r="F15" s="10" t="n">
        <v>280000</v>
      </c>
      <c r="G15" s="11" t="inlineStr">
        <is>
          <t>◐</t>
        </is>
      </c>
      <c r="H15" s="10" t="n">
        <v>550000</v>
      </c>
      <c r="I15" s="12">
        <f>H15-F15</f>
        <v/>
      </c>
      <c r="J15" s="13">
        <f>IF(F15=0,"",ROUND((H15-F15)/F15*100,0))</f>
        <v/>
      </c>
      <c r="K15" s="14" t="inlineStr"/>
    </row>
    <row r="16" ht="30" customHeight="1">
      <c r="A16" s="6" t="n">
        <v>10</v>
      </c>
      <c r="B16" s="6" t="inlineStr">
        <is>
          <t>용역</t>
        </is>
      </c>
      <c r="C16" s="7" t="inlineStr">
        <is>
          <t>제어반 제작·조립·내부결선</t>
        </is>
      </c>
      <c r="D16" s="8" t="inlineStr">
        <is>
          <t>기기취부·내부결선·검사</t>
        </is>
      </c>
      <c r="E16" s="9" t="inlineStr">
        <is>
          <t>판넬 제작업체 공임</t>
        </is>
      </c>
      <c r="F16" s="10" t="n">
        <v>650000</v>
      </c>
      <c r="G16" s="11" t="inlineStr">
        <is>
          <t>▷</t>
        </is>
      </c>
      <c r="H16" s="10" t="n">
        <v>900000</v>
      </c>
      <c r="I16" s="12">
        <f>H16-F16</f>
        <v/>
      </c>
      <c r="J16" s="13">
        <f>IF(F16=0,"",ROUND((H16-F16)/F16*100,0))</f>
        <v/>
      </c>
      <c r="K16" s="14" t="inlineStr">
        <is>
          <t>함체업체 일괄 시 절감</t>
        </is>
      </c>
    </row>
    <row r="17" ht="20" customHeight="1">
      <c r="A17" s="4" t="inlineStr">
        <is>
          <t>3. 중앙감시 CCMS (표준 IT장비)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 ht="30" customHeight="1">
      <c r="A18" s="6" t="n">
        <v>11</v>
      </c>
      <c r="B18" s="6" t="inlineStr">
        <is>
          <t>자재</t>
        </is>
      </c>
      <c r="C18" s="7" t="inlineStr">
        <is>
          <t>관제용 PC</t>
        </is>
      </c>
      <c r="D18" s="8" t="inlineStr">
        <is>
          <t>i5, RAM 32GB, SSD 1TB, Win10/11</t>
        </is>
      </c>
      <c r="E18" s="9" t="inlineStr">
        <is>
          <t>HP ProDesk 400 G9 / Dell OptiPlex (i5-14400급)</t>
        </is>
      </c>
      <c r="F18" s="10" t="n">
        <v>1900000</v>
      </c>
      <c r="G18" s="11" t="inlineStr">
        <is>
          <t>◐</t>
        </is>
      </c>
      <c r="H18" s="10" t="n">
        <v>1600000</v>
      </c>
      <c r="I18" s="12">
        <f>H18-F18</f>
        <v/>
      </c>
      <c r="J18" s="13">
        <f>IF(F18=0,"",ROUND((H18-F18)/F18*100,0))</f>
        <v/>
      </c>
      <c r="K18" s="14" t="inlineStr">
        <is>
          <t>⚠ 브랜드 32GB/1TB SSD 시세 ↑ — 견적단가 상향 검토</t>
        </is>
      </c>
    </row>
    <row r="19" ht="30" customHeight="1">
      <c r="A19" s="6" t="n">
        <v>12</v>
      </c>
      <c r="B19" s="6" t="inlineStr">
        <is>
          <t>자재</t>
        </is>
      </c>
      <c r="C19" s="7" t="inlineStr">
        <is>
          <t>24″ LED 모니터</t>
        </is>
      </c>
      <c r="D19" s="8" t="inlineStr">
        <is>
          <t>1920×1080</t>
        </is>
      </c>
      <c r="E19" s="9" t="inlineStr">
        <is>
          <t>LG 24MK430H-B / 삼성 S24C310</t>
        </is>
      </c>
      <c r="F19" s="10" t="n">
        <v>175000</v>
      </c>
      <c r="G19" s="11" t="inlineStr">
        <is>
          <t>●</t>
        </is>
      </c>
      <c r="H19" s="10" t="n">
        <v>250000</v>
      </c>
      <c r="I19" s="12">
        <f>H19-F19</f>
        <v/>
      </c>
      <c r="J19" s="13">
        <f>IF(F19=0,"",ROUND((H19-F19)/F19*100,0))</f>
        <v/>
      </c>
      <c r="K19" s="14" t="inlineStr">
        <is>
          <t>다나와 시세</t>
        </is>
      </c>
    </row>
    <row r="20" ht="30" customHeight="1">
      <c r="A20" s="6" t="n">
        <v>13</v>
      </c>
      <c r="B20" s="6" t="inlineStr">
        <is>
          <t>자재</t>
        </is>
      </c>
      <c r="C20" s="7" t="inlineStr">
        <is>
          <t>프린터</t>
        </is>
      </c>
      <c r="D20" s="8" t="inlineStr">
        <is>
          <t>경보·리포트 출력</t>
        </is>
      </c>
      <c r="E20" s="9" t="inlineStr">
        <is>
          <t>HP LaserJet M111w / 삼성 흑백레이저</t>
        </is>
      </c>
      <c r="F20" s="10" t="n">
        <v>200000</v>
      </c>
      <c r="G20" s="11" t="inlineStr">
        <is>
          <t>●</t>
        </is>
      </c>
      <c r="H20" s="10" t="n">
        <v>250000</v>
      </c>
      <c r="I20" s="12">
        <f>H20-F20</f>
        <v/>
      </c>
      <c r="J20" s="13">
        <f>IF(F20=0,"",ROUND((H20-F20)/F20*100,0))</f>
        <v/>
      </c>
      <c r="K20" s="14" t="inlineStr"/>
    </row>
    <row r="21" ht="30" customHeight="1">
      <c r="A21" s="6" t="n">
        <v>14</v>
      </c>
      <c r="B21" s="6" t="inlineStr">
        <is>
          <t>자재</t>
        </is>
      </c>
      <c r="C21" s="7" t="inlineStr">
        <is>
          <t>관제 콘솔 데스크</t>
        </is>
      </c>
      <c r="D21" s="8" t="inlineStr">
        <is>
          <t>경비실 설치대(옵션)</t>
        </is>
      </c>
      <c r="E21" s="9" t="inlineStr">
        <is>
          <t>사무용 데스크</t>
        </is>
      </c>
      <c r="F21" s="10" t="n">
        <v>300000</v>
      </c>
      <c r="G21" s="11" t="inlineStr">
        <is>
          <t>◐</t>
        </is>
      </c>
      <c r="H21" s="10" t="n">
        <v>400000</v>
      </c>
      <c r="I21" s="12">
        <f>H21-F21</f>
        <v/>
      </c>
      <c r="J21" s="13">
        <f>IF(F21=0,"",ROUND((H21-F21)/F21*100,0))</f>
        <v/>
      </c>
      <c r="K21" s="14" t="inlineStr">
        <is>
          <t>옵션</t>
        </is>
      </c>
    </row>
    <row r="22" ht="20" customHeight="1">
      <c r="A22" s="4" t="inlineStr">
        <is>
          <t>4. 통신·제어 케이블 (표준 전선)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 ht="30" customHeight="1">
      <c r="A23" s="6" t="n">
        <v>15</v>
      </c>
      <c r="B23" s="6" t="inlineStr">
        <is>
          <t>자재</t>
        </is>
      </c>
      <c r="C23" s="7" t="inlineStr">
        <is>
          <t>데이터라인 F-CVVS 1.5㎟×2C</t>
        </is>
      </c>
      <c r="D23" s="8" t="inlineStr">
        <is>
          <t>SCU↔LCP, 22C, ~200m</t>
        </is>
      </c>
      <c r="E23" s="9" t="inlineStr">
        <is>
          <t>대한전선/가온전선/코리아테크 (제어용 차폐)</t>
        </is>
      </c>
      <c r="F23" s="10" t="n">
        <v>250000</v>
      </c>
      <c r="G23" s="11" t="inlineStr">
        <is>
          <t>●</t>
        </is>
      </c>
      <c r="H23" s="10" t="n">
        <v>350000</v>
      </c>
      <c r="I23" s="12">
        <f>H23-F23</f>
        <v/>
      </c>
      <c r="J23" s="13">
        <f>IF(F23=0,"",ROUND((H23-F23)/F23*100,0))</f>
        <v/>
      </c>
      <c r="K23" s="14" t="inlineStr">
        <is>
          <t>≈1,200원/m × 200m (koreacable.net)</t>
        </is>
      </c>
    </row>
    <row r="24" ht="30" customHeight="1">
      <c r="A24" s="6" t="n">
        <v>16</v>
      </c>
      <c r="B24" s="6" t="inlineStr">
        <is>
          <t>자재</t>
        </is>
      </c>
      <c r="C24" s="7" t="inlineStr">
        <is>
          <t>0-10V 통신선 AWG18(UL2095,2C)</t>
        </is>
      </c>
      <c r="D24" s="8" t="inlineStr">
        <is>
          <t>안정기 구간, 16C</t>
        </is>
      </c>
      <c r="E24" s="9" t="inlineStr">
        <is>
          <t>UL2095 2C 전선</t>
        </is>
      </c>
      <c r="F24" s="10" t="n">
        <v>180000</v>
      </c>
      <c r="G24" s="11" t="inlineStr">
        <is>
          <t>◐</t>
        </is>
      </c>
      <c r="H24" s="10" t="n">
        <v>300000</v>
      </c>
      <c r="I24" s="12">
        <f>H24-F24</f>
        <v/>
      </c>
      <c r="J24" s="13">
        <f>IF(F24=0,"",ROUND((H24-F24)/F24*100,0))</f>
        <v/>
      </c>
      <c r="K24" s="14" t="inlineStr"/>
    </row>
    <row r="25" ht="30" customHeight="1">
      <c r="A25" s="6" t="n">
        <v>17</v>
      </c>
      <c r="B25" s="6" t="inlineStr">
        <is>
          <t>자재</t>
        </is>
      </c>
      <c r="C25" s="7" t="inlineStr">
        <is>
          <t>제어반 전원선</t>
        </is>
      </c>
      <c r="D25" s="8" t="inlineStr">
        <is>
          <t>F-CV 2.5㎟×3C / HFIX 2.5㎟</t>
        </is>
      </c>
      <c r="E25" s="9" t="inlineStr">
        <is>
          <t>대한/LS전선</t>
        </is>
      </c>
      <c r="F25" s="10" t="n">
        <v>180000</v>
      </c>
      <c r="G25" s="11" t="inlineStr">
        <is>
          <t>◐</t>
        </is>
      </c>
      <c r="H25" s="10" t="n">
        <v>200000</v>
      </c>
      <c r="I25" s="12">
        <f>H25-F25</f>
        <v/>
      </c>
      <c r="J25" s="13">
        <f>IF(F25=0,"",ROUND((H25-F25)/F25*100,0))</f>
        <v/>
      </c>
      <c r="K25" s="14" t="inlineStr"/>
    </row>
    <row r="26" ht="30" customHeight="1">
      <c r="A26" s="6" t="n">
        <v>18</v>
      </c>
      <c r="B26" s="6" t="inlineStr">
        <is>
          <t>자재</t>
        </is>
      </c>
      <c r="C26" s="7" t="inlineStr">
        <is>
          <t>단자·성단·소모자재</t>
        </is>
      </c>
      <c r="D26" s="8" t="inlineStr">
        <is>
          <t>압착단자·케이블타이·마킹</t>
        </is>
      </c>
      <c r="E26" s="9" t="inlineStr">
        <is>
          <t>일반 소모자재</t>
        </is>
      </c>
      <c r="F26" s="10" t="n">
        <v>150000</v>
      </c>
      <c r="G26" s="11" t="inlineStr">
        <is>
          <t>◐</t>
        </is>
      </c>
      <c r="H26" s="10" t="n">
        <v>200000</v>
      </c>
      <c r="I26" s="12">
        <f>H26-F26</f>
        <v/>
      </c>
      <c r="J26" s="13">
        <f>IF(F26=0,"",ROUND((H26-F26)/F26*100,0))</f>
        <v/>
      </c>
      <c r="K26" s="14" t="inlineStr"/>
    </row>
    <row r="27" ht="20" customHeight="1">
      <c r="A27" s="4" t="inlineStr">
        <is>
          <t>5. 설치·용역 (공임 원가 — 무형)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 ht="30" customHeight="1">
      <c r="A28" s="6" t="n">
        <v>19</v>
      </c>
      <c r="B28" s="6" t="inlineStr">
        <is>
          <t>용역</t>
        </is>
      </c>
      <c r="C28" s="7" t="inlineStr">
        <is>
          <t>기기 셋팅·프로그래밍</t>
        </is>
      </c>
      <c r="D28" s="8" t="inlineStr">
        <is>
          <t>그룹·씬·스케쥴(41등/6회로)</t>
        </is>
      </c>
      <c r="E28" s="9" t="inlineStr">
        <is>
          <t>엔지니어 공수</t>
        </is>
      </c>
      <c r="F28" s="10" t="n">
        <v>1000000</v>
      </c>
      <c r="G28" s="11" t="inlineStr">
        <is>
          <t>▷</t>
        </is>
      </c>
      <c r="H28" s="10" t="n">
        <v>1500000</v>
      </c>
      <c r="I28" s="12">
        <f>H28-F28</f>
        <v/>
      </c>
      <c r="J28" s="13">
        <f>IF(F28=0,"",ROUND((H28-F28)/F28*100,0))</f>
        <v/>
      </c>
      <c r="K28" s="14" t="inlineStr">
        <is>
          <t>MRBAS 협조 시 조정</t>
        </is>
      </c>
    </row>
    <row r="29" ht="30" customHeight="1">
      <c r="A29" s="6" t="n">
        <v>20</v>
      </c>
      <c r="B29" s="6" t="inlineStr">
        <is>
          <t>용역</t>
        </is>
      </c>
      <c r="C29" s="7" t="inlineStr">
        <is>
          <t>기기 신호선 결선</t>
        </is>
      </c>
      <c r="D29" s="8" t="inlineStr">
        <is>
          <t>DIM/R/ETLC/24VAC 결선</t>
        </is>
      </c>
      <c r="E29" s="9" t="inlineStr">
        <is>
          <t>설치 공수</t>
        </is>
      </c>
      <c r="F29" s="10" t="n">
        <v>550000</v>
      </c>
      <c r="G29" s="11" t="inlineStr">
        <is>
          <t>▷</t>
        </is>
      </c>
      <c r="H29" s="10" t="n">
        <v>800000</v>
      </c>
      <c r="I29" s="12">
        <f>H29-F29</f>
        <v/>
      </c>
      <c r="J29" s="13">
        <f>IF(F29=0,"",ROUND((H29-F29)/F29*100,0))</f>
        <v/>
      </c>
      <c r="K29" s="14" t="inlineStr"/>
    </row>
    <row r="30" ht="30" customHeight="1">
      <c r="A30" s="6" t="n">
        <v>21</v>
      </c>
      <c r="B30" s="6" t="inlineStr">
        <is>
          <t>용역</t>
        </is>
      </c>
      <c r="C30" s="7" t="inlineStr">
        <is>
          <t>0-10V 통신라인 결선</t>
        </is>
      </c>
      <c r="D30" s="8" t="inlineStr">
        <is>
          <t>디밍모듈↔안정기 성단</t>
        </is>
      </c>
      <c r="E30" s="9" t="inlineStr">
        <is>
          <t>설치 공수</t>
        </is>
      </c>
      <c r="F30" s="10" t="n">
        <v>400000</v>
      </c>
      <c r="G30" s="11" t="inlineStr">
        <is>
          <t>▷</t>
        </is>
      </c>
      <c r="H30" s="10" t="n">
        <v>600000</v>
      </c>
      <c r="I30" s="12">
        <f>H30-F30</f>
        <v/>
      </c>
      <c r="J30" s="13">
        <f>IF(F30=0,"",ROUND((H30-F30)/F30*100,0))</f>
        <v/>
      </c>
      <c r="K30" s="14" t="inlineStr"/>
    </row>
    <row r="31" ht="30" customHeight="1">
      <c r="A31" s="6" t="n">
        <v>22</v>
      </c>
      <c r="B31" s="6" t="inlineStr">
        <is>
          <t>용역</t>
        </is>
      </c>
      <c r="C31" s="7" t="inlineStr">
        <is>
          <t>HMI 그래픽·포인트 설정</t>
        </is>
      </c>
      <c r="D31" s="8" t="inlineStr">
        <is>
          <t>배치도 그래픽·포인트·경보</t>
        </is>
      </c>
      <c r="E31" s="9" t="inlineStr">
        <is>
          <t>SW 엔지니어 공수</t>
        </is>
      </c>
      <c r="F31" s="10" t="n">
        <v>1200000</v>
      </c>
      <c r="G31" s="11" t="inlineStr">
        <is>
          <t>▷</t>
        </is>
      </c>
      <c r="H31" s="10" t="n">
        <v>1800000</v>
      </c>
      <c r="I31" s="12">
        <f>H31-F31</f>
        <v/>
      </c>
      <c r="J31" s="13">
        <f>IF(F31=0,"",ROUND((H31-F31)/F31*100,0))</f>
        <v/>
      </c>
      <c r="K31" s="14" t="inlineStr"/>
    </row>
    <row r="32" ht="30" customHeight="1">
      <c r="A32" s="6" t="n">
        <v>23</v>
      </c>
      <c r="B32" s="6" t="inlineStr">
        <is>
          <t>용역</t>
        </is>
      </c>
      <c r="C32" s="7" t="inlineStr">
        <is>
          <t>통합시험·시운전(T&amp;C)</t>
        </is>
      </c>
      <c r="D32" s="8" t="inlineStr">
        <is>
          <t>회로별 검증·시운전</t>
        </is>
      </c>
      <c r="E32" s="9" t="inlineStr">
        <is>
          <t>시운전 공수</t>
        </is>
      </c>
      <c r="F32" s="10" t="n">
        <v>800000</v>
      </c>
      <c r="G32" s="11" t="inlineStr">
        <is>
          <t>▷</t>
        </is>
      </c>
      <c r="H32" s="10" t="n">
        <v>1200000</v>
      </c>
      <c r="I32" s="12">
        <f>H32-F32</f>
        <v/>
      </c>
      <c r="J32" s="13">
        <f>IF(F32=0,"",ROUND((H32-F32)/F32*100,0))</f>
        <v/>
      </c>
      <c r="K32" s="14" t="inlineStr"/>
    </row>
    <row r="33" ht="30" customHeight="1">
      <c r="A33" s="6" t="n">
        <v>24</v>
      </c>
      <c r="B33" s="6" t="inlineStr">
        <is>
          <t>용역</t>
        </is>
      </c>
      <c r="C33" s="7" t="inlineStr">
        <is>
          <t>운영자 교육</t>
        </is>
      </c>
      <c r="D33" s="8" t="inlineStr">
        <is>
          <t>경비실 교육·매뉴얼</t>
        </is>
      </c>
      <c r="E33" s="9" t="inlineStr">
        <is>
          <t>교육 공수</t>
        </is>
      </c>
      <c r="F33" s="10" t="n">
        <v>200000</v>
      </c>
      <c r="G33" s="11" t="inlineStr">
        <is>
          <t>▷</t>
        </is>
      </c>
      <c r="H33" s="10" t="n">
        <v>300000</v>
      </c>
      <c r="I33" s="12">
        <f>H33-F33</f>
        <v/>
      </c>
      <c r="J33" s="13">
        <f>IF(F33=0,"",ROUND((H33-F33)/F33*100,0))</f>
        <v/>
      </c>
      <c r="K33" s="14" t="inlineStr"/>
    </row>
    <row r="34" ht="20" customHeight="1">
      <c r="A34" s="4" t="inlineStr">
        <is>
          <t>6. 기타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 ht="30" customHeight="1">
      <c r="A35" s="6" t="n">
        <v>25</v>
      </c>
      <c r="B35" s="6" t="inlineStr">
        <is>
          <t>자재</t>
        </is>
      </c>
      <c r="C35" s="7" t="inlineStr">
        <is>
          <t>준공도서·성적서·인증서</t>
        </is>
      </c>
      <c r="D35" s="8" t="inlineStr">
        <is>
          <t>준공도서·시험성적서 사본</t>
        </is>
      </c>
      <c r="E35" s="9" t="inlineStr">
        <is>
          <t>문서 제작</t>
        </is>
      </c>
      <c r="F35" s="10" t="n">
        <v>200000</v>
      </c>
      <c r="G35" s="11" t="inlineStr">
        <is>
          <t>▷</t>
        </is>
      </c>
      <c r="H35" s="10" t="n">
        <v>300000</v>
      </c>
      <c r="I35" s="12">
        <f>H35-F35</f>
        <v/>
      </c>
      <c r="J35" s="13">
        <f>IF(F35=0,"",ROUND((H35-F35)/F35*100,0))</f>
        <v/>
      </c>
      <c r="K35" s="14" t="inlineStr"/>
    </row>
    <row r="36" ht="30" customHeight="1">
      <c r="A36" s="6" t="n">
        <v>26</v>
      </c>
      <c r="B36" s="6" t="inlineStr">
        <is>
          <t>자재</t>
        </is>
      </c>
      <c r="C36" s="7" t="inlineStr">
        <is>
          <t>운반비</t>
        </is>
      </c>
      <c r="D36" s="8" t="inlineStr">
        <is>
          <t>부산 현장 운송</t>
        </is>
      </c>
      <c r="E36" s="9" t="inlineStr">
        <is>
          <t>화물/택배</t>
        </is>
      </c>
      <c r="F36" s="10" t="n">
        <v>350000</v>
      </c>
      <c r="G36" s="11" t="inlineStr">
        <is>
          <t>◐</t>
        </is>
      </c>
      <c r="H36" s="10" t="n">
        <v>400000</v>
      </c>
      <c r="I36" s="12">
        <f>H36-F36</f>
        <v/>
      </c>
      <c r="J36" s="13">
        <f>IF(F36=0,"",ROUND((H36-F36)/F36*100,0))</f>
        <v/>
      </c>
      <c r="K36" s="14" t="inlineStr">
        <is>
          <t>부산 원거리</t>
        </is>
      </c>
    </row>
    <row r="37" ht="30" customHeight="1">
      <c r="A37" s="6" t="n">
        <v>27</v>
      </c>
      <c r="B37" s="6" t="inlineStr">
        <is>
          <t>자재</t>
        </is>
      </c>
      <c r="C37" s="7" t="inlineStr">
        <is>
          <t>출장·숙박비</t>
        </is>
      </c>
      <c r="D37" s="8" t="inlineStr">
        <is>
          <t>시공·시운전 출장</t>
        </is>
      </c>
      <c r="E37" s="9" t="inlineStr">
        <is>
          <t>출장 실비</t>
        </is>
      </c>
      <c r="F37" s="10" t="n">
        <v>500000</v>
      </c>
      <c r="G37" s="11" t="inlineStr">
        <is>
          <t>▷</t>
        </is>
      </c>
      <c r="H37" s="10" t="n">
        <v>600000</v>
      </c>
      <c r="I37" s="12">
        <f>H37-F37</f>
        <v/>
      </c>
      <c r="J37" s="13">
        <f>IF(F37=0,"",ROUND((H37-F37)/F37*100,0))</f>
        <v/>
      </c>
      <c r="K37" s="14" t="inlineStr"/>
    </row>
    <row r="38" ht="30" customHeight="1">
      <c r="A38" s="6" t="n">
        <v>28</v>
      </c>
      <c r="B38" s="6" t="inlineStr">
        <is>
          <t>자재</t>
        </is>
      </c>
      <c r="C38" s="7" t="inlineStr">
        <is>
          <t>예비품(Spare)</t>
        </is>
      </c>
      <c r="D38" s="8" t="inlineStr">
        <is>
          <t>디밍 2회로분·퓨즈·소모품</t>
        </is>
      </c>
      <c r="E38" s="9" t="inlineStr">
        <is>
          <t>MRBAS 예비 모듈 등</t>
        </is>
      </c>
      <c r="F38" s="10" t="n">
        <v>300000</v>
      </c>
      <c r="G38" s="11" t="inlineStr">
        <is>
          <t>◐</t>
        </is>
      </c>
      <c r="H38" s="10" t="n">
        <v>400000</v>
      </c>
      <c r="I38" s="12">
        <f>H38-F38</f>
        <v/>
      </c>
      <c r="J38" s="13">
        <f>IF(F38=0,"",ROUND((H38-F38)/F38*100,0))</f>
        <v/>
      </c>
      <c r="K38" s="14" t="inlineStr"/>
    </row>
    <row r="39" ht="22" customHeight="1">
      <c r="A39" s="15" t="inlineStr">
        <is>
          <t>합계 — 시장/원가 추정 vs 견적 직접비</t>
        </is>
      </c>
      <c r="B39" s="16" t="n"/>
      <c r="C39" s="16" t="n"/>
      <c r="D39" s="16" t="n"/>
      <c r="E39" s="16" t="n"/>
      <c r="F39" s="17">
        <f>SUM(F6:F38)</f>
        <v/>
      </c>
      <c r="G39" s="16" t="n"/>
      <c r="H39" s="17">
        <f>SUM(H6:H38)</f>
        <v/>
      </c>
      <c r="I39" s="17">
        <f>H39-F39</f>
        <v/>
      </c>
      <c r="J39" s="18">
        <f>ROUND((H39-F39)/F39*100,0)</f>
        <v/>
      </c>
      <c r="K39" s="16" t="n"/>
    </row>
    <row r="40" ht="16" customHeight="1">
      <c r="A40" s="19" t="inlineStr">
        <is>
          <t>→ 직접비 예상 총이익 = 견적직접비 − 원가추정 (H39−F39). 여기에 견적서 일반관리비 5% + 이윤 10% 별도 가산됨. 전용기기(SCU·디밍·HMI) 실견적에 따라 변동 큼.</t>
        </is>
      </c>
    </row>
    <row r="42" ht="16" customHeight="1">
      <c r="A42" s="20" t="inlineStr">
        <is>
          <t>신뢰도: ● 웹 실검색 확인  /  ◐ 시장지식 추정  /  ○ 전용기기(제조사 실견적 필수)  /  ▷ 용역(공임 원가추정)</t>
        </is>
      </c>
    </row>
    <row r="43" ht="16" customHeight="1">
      <c r="A43" s="21" t="inlineStr">
        <is>
          <t>⚠ No.11 관제PC: 브랜드 i5·32GB·1TB SSD 시세가 견적단가보다 높음 → 견적 상향 또는 사양(16GB/SSD 512GB) 하향 검토.</t>
        </is>
      </c>
    </row>
    <row r="44" ht="16" customHeight="1">
      <c r="A44" s="21" t="inlineStr">
        <is>
          <t>⚠ 전용기기(MRBAS ELC: SCU·0-10V 디밍모듈·릴레이·전원·HMI)는 추정가이며 반드시 ㈜엠알바스 실견적으로 대체할 것.</t>
        </is>
      </c>
    </row>
    <row r="45" ht="16" customHeight="1">
      <c r="A45" s="20" t="inlineStr">
        <is>
          <t>출처(웹): mrbas.co.kr(ELC SYSTEM 카탈로그) · LS ELECTRIC/풍림·2sk·speedmall(차단기) · koreacable.net(F-CVVS) · HP/Dell 코리아(PC) · topbox·boxpara(함체) — 2026-07-24 검색.</t>
        </is>
      </c>
    </row>
  </sheetData>
  <mergeCells count="14">
    <mergeCell ref="A39:E39"/>
    <mergeCell ref="A22:K22"/>
    <mergeCell ref="A34:K34"/>
    <mergeCell ref="A43:K43"/>
    <mergeCell ref="A2:K2"/>
    <mergeCell ref="A11:K11"/>
    <mergeCell ref="A45:K45"/>
    <mergeCell ref="A42:K42"/>
    <mergeCell ref="A5:K5"/>
    <mergeCell ref="A40:K40"/>
    <mergeCell ref="A44:K44"/>
    <mergeCell ref="A1:K1"/>
    <mergeCell ref="A17:K17"/>
    <mergeCell ref="A27:K2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2026-07-23T20:03:07Z</dcterms:created>
  <dcterms:modified xmlns:dcterms="http://purl.org/dc/terms/" xmlns:xsi="http://www.w3.org/2001/XMLSchema-instance" xsi:type="dcterms:W3CDTF">2026-07-23T20:03:07Z</dcterms:modified>
</cp:coreProperties>
</file>