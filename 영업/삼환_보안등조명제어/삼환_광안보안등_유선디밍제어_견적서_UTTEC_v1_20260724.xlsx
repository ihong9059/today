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2315E"/>
      <sz val="20"/>
    </font>
    <font>
      <name val="맑은 고딕"/>
      <b val="1"/>
      <color rgb="0012315E"/>
      <sz val="9.5"/>
    </font>
    <font>
      <name val="맑은 고딕"/>
      <sz val="9.5"/>
    </font>
    <font>
      <name val="맑은 고딕"/>
      <b val="1"/>
      <color rgb="00FFFFFF"/>
      <sz val="10"/>
    </font>
    <font>
      <name val="맑은 고딕"/>
      <b val="1"/>
      <color rgb="0012315E"/>
      <sz val="10"/>
    </font>
    <font>
      <name val="맑은 고딕"/>
      <b val="1"/>
      <sz val="9.5"/>
    </font>
    <font>
      <name val="맑은 고딕"/>
      <color rgb="006B7280"/>
      <sz val="8.5"/>
    </font>
    <font>
      <name val="맑은 고딕"/>
      <b val="1"/>
      <color rgb="0012315E"/>
      <sz val="9"/>
    </font>
    <font>
      <name val="맑은 고딕"/>
      <color rgb="00374151"/>
      <sz val="8.699999999999999"/>
    </font>
  </fonts>
  <fills count="6">
    <fill>
      <patternFill/>
    </fill>
    <fill>
      <patternFill patternType="gray125"/>
    </fill>
    <fill>
      <patternFill patternType="solid">
        <fgColor rgb="00EFF4FB"/>
      </patternFill>
    </fill>
    <fill>
      <patternFill patternType="solid">
        <fgColor rgb="0012315E"/>
      </patternFill>
    </fill>
    <fill>
      <patternFill patternType="solid">
        <fgColor rgb="00DCE6F5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5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6" customWidth="1" min="4" max="4"/>
    <col width="6" customWidth="1" min="5" max="5"/>
    <col width="13" customWidth="1" min="6" max="6"/>
    <col width="15" customWidth="1" min="7" max="7"/>
    <col width="22" customWidth="1" min="8" max="8"/>
  </cols>
  <sheetData>
    <row r="1" ht="34" customHeight="1">
      <c r="A1" s="1" t="inlineStr">
        <is>
          <t>견  적  서</t>
        </is>
      </c>
    </row>
    <row r="3" ht="22" customHeight="1">
      <c r="A3" s="2" t="inlineStr">
        <is>
          <t>공 사 명</t>
        </is>
      </c>
      <c r="B3" s="3" t="inlineStr">
        <is>
          <t>광안 지역주택조합 공동주택 신축공사 — 옥외 보안등 조명제어 시스템</t>
        </is>
      </c>
      <c r="C3" s="4" t="n"/>
      <c r="D3" s="4" t="n"/>
      <c r="E3" s="4" t="n"/>
      <c r="F3" s="2" t="inlineStr">
        <is>
          <t>제 출 처</t>
        </is>
      </c>
      <c r="G3" s="3" t="inlineStr">
        <is>
          <t>삼환전기 귀중</t>
        </is>
      </c>
      <c r="H3" s="4" t="n"/>
    </row>
    <row r="4" ht="22" customHeight="1">
      <c r="A4" s="2" t="inlineStr">
        <is>
          <t>현    장</t>
        </is>
      </c>
      <c r="B4" s="3" t="inlineStr">
        <is>
          <t>부산 수영구 광안동 971</t>
        </is>
      </c>
      <c r="C4" s="4" t="n"/>
      <c r="D4" s="4" t="n"/>
      <c r="E4" s="4" t="n"/>
      <c r="F4" s="2" t="inlineStr">
        <is>
          <t>제 출 일</t>
        </is>
      </c>
      <c r="G4" s="3" t="inlineStr">
        <is>
          <t>2026. 07. 24.</t>
        </is>
      </c>
      <c r="H4" s="4" t="n"/>
    </row>
    <row r="5" ht="22" customHeight="1">
      <c r="A5" s="2" t="inlineStr">
        <is>
          <t>제어대상</t>
        </is>
      </c>
      <c r="B5" s="3" t="inlineStr">
        <is>
          <t>옥외 보안등 41등 / 6회로 (LCP-0, 501동 경비실)</t>
        </is>
      </c>
      <c r="C5" s="4" t="n"/>
      <c r="D5" s="4" t="n"/>
      <c r="E5" s="4" t="n"/>
      <c r="F5" s="2" t="inlineStr">
        <is>
          <t>문    서</t>
        </is>
      </c>
      <c r="G5" s="3" t="inlineStr">
        <is>
          <t>v1.0 (E13 상세도 반영)</t>
        </is>
      </c>
      <c r="H5" s="4" t="n"/>
    </row>
    <row r="6" ht="22" customHeight="1">
      <c r="A6" s="2" t="inlineStr">
        <is>
          <t>공급자</t>
        </is>
      </c>
      <c r="B6" s="3" t="inlineStr">
        <is>
          <t>UTTEC (유티이씨) · 대표이사 홍광선</t>
        </is>
      </c>
      <c r="C6" s="4" t="n"/>
      <c r="D6" s="4" t="n"/>
      <c r="E6" s="4" t="n"/>
      <c r="F6" s="2" t="inlineStr">
        <is>
          <t>연 락 처</t>
        </is>
      </c>
      <c r="G6" s="3" t="inlineStr">
        <is>
          <t>010-2401-9059 / ihong9059@gmail.com</t>
        </is>
      </c>
      <c r="H6" s="4" t="n"/>
    </row>
    <row r="7" ht="22" customHeight="1">
      <c r="A7" s="2" t="inlineStr">
        <is>
          <t>주    소</t>
        </is>
      </c>
      <c r="B7" s="3" t="inlineStr">
        <is>
          <t>경기도 용인시 기흥구 흥덕중앙로 120 흥덕유타워 2404호</t>
        </is>
      </c>
      <c r="C7" s="4" t="n"/>
      <c r="D7" s="4" t="n"/>
      <c r="E7" s="4" t="n"/>
      <c r="F7" s="2" t="inlineStr">
        <is>
          <t>웹</t>
        </is>
      </c>
      <c r="G7" s="3" t="inlineStr">
        <is>
          <t>www.uttec.co.kr</t>
        </is>
      </c>
      <c r="H7" s="4" t="n"/>
    </row>
    <row r="9" ht="24" customHeight="1">
      <c r="A9" s="5" t="inlineStr">
        <is>
          <t>No</t>
        </is>
      </c>
      <c r="B9" s="5" t="inlineStr">
        <is>
          <t>품    명</t>
        </is>
      </c>
      <c r="C9" s="5" t="inlineStr">
        <is>
          <t>규    격</t>
        </is>
      </c>
      <c r="D9" s="5" t="inlineStr">
        <is>
          <t>단위</t>
        </is>
      </c>
      <c r="E9" s="5" t="inlineStr">
        <is>
          <t>수량</t>
        </is>
      </c>
      <c r="F9" s="5" t="inlineStr">
        <is>
          <t>단가(원)</t>
        </is>
      </c>
      <c r="G9" s="5" t="inlineStr">
        <is>
          <t>금액(원)</t>
        </is>
      </c>
      <c r="H9" s="5" t="inlineStr">
        <is>
          <t>비    고</t>
        </is>
      </c>
    </row>
    <row r="10" ht="20" customHeight="1">
      <c r="A10" s="6" t="inlineStr">
        <is>
          <t>1. 조명제어 기기 (Control Devices)</t>
        </is>
      </c>
      <c r="B10" s="4" t="n"/>
      <c r="C10" s="4" t="n"/>
      <c r="D10" s="4" t="n"/>
      <c r="E10" s="4" t="n"/>
      <c r="F10" s="4" t="n"/>
      <c r="G10" s="4" t="n"/>
      <c r="H10" s="4" t="n"/>
    </row>
    <row r="11" ht="26" customHeight="1">
      <c r="A11" s="7" t="n">
        <v>1</v>
      </c>
      <c r="B11" s="8" t="inlineStr">
        <is>
          <t>중앙전송장치 SCU</t>
        </is>
      </c>
      <c r="C11" s="3" t="inlineStr">
        <is>
          <t>32bit MCU, RS485 ELC+Ethernet+MODBUS, WIFI, 130×130, AC220/110V</t>
        </is>
      </c>
      <c r="D11" s="7" t="inlineStr">
        <is>
          <t>EA</t>
        </is>
      </c>
      <c r="E11" s="7" t="n">
        <v>1</v>
      </c>
      <c r="F11" s="9" t="n">
        <v>1800000</v>
      </c>
      <c r="G11" s="9">
        <f>E11*F11</f>
        <v/>
      </c>
      <c r="H11" s="10" t="inlineStr">
        <is>
          <t>E13-011 사양</t>
        </is>
      </c>
    </row>
    <row r="12" ht="26" customHeight="1">
      <c r="A12" s="7" t="n">
        <v>2</v>
      </c>
      <c r="B12" s="8" t="inlineStr">
        <is>
          <t>0-10V 디밍모듈 (8채널)</t>
        </is>
      </c>
      <c r="C12" s="3" t="inlineStr">
        <is>
          <t>0-10V 디밍 8ch + 16A 래칭릴레이 8ch, 0~254단계</t>
        </is>
      </c>
      <c r="D12" s="7" t="inlineStr">
        <is>
          <t>EA</t>
        </is>
      </c>
      <c r="E12" s="7" t="n">
        <v>1</v>
      </c>
      <c r="F12" s="9" t="n">
        <v>1200000</v>
      </c>
      <c r="G12" s="9">
        <f>E12*F12</f>
        <v/>
      </c>
      <c r="H12" s="10" t="inlineStr">
        <is>
          <t>6회로 사용+2예비</t>
        </is>
      </c>
    </row>
    <row r="13" ht="26" customHeight="1">
      <c r="A13" s="7" t="n">
        <v>3</v>
      </c>
      <c r="B13" s="8" t="inlineStr">
        <is>
          <t>전원공급장치 (Power Supply Unit)</t>
        </is>
      </c>
      <c r="C13" s="3" t="inlineStr">
        <is>
          <t>AC220V→24VAC, 60Hz, 60VA (Expansion Power 포함)</t>
        </is>
      </c>
      <c r="D13" s="7" t="inlineStr">
        <is>
          <t>EA</t>
        </is>
      </c>
      <c r="E13" s="7" t="n">
        <v>1</v>
      </c>
      <c r="F13" s="9" t="n">
        <v>350000</v>
      </c>
      <c r="G13" s="9">
        <f>E13*F13</f>
        <v/>
      </c>
      <c r="H13" s="10" t="inlineStr"/>
    </row>
    <row r="14" ht="20" customHeight="1">
      <c r="A14" s="6" t="inlineStr">
        <is>
          <t>2. 조명제어반 LCP-0 (Panel)</t>
        </is>
      </c>
      <c r="B14" s="4" t="n"/>
      <c r="C14" s="4" t="n"/>
      <c r="D14" s="4" t="n"/>
      <c r="E14" s="4" t="n"/>
      <c r="F14" s="4" t="n"/>
      <c r="G14" s="4" t="n"/>
      <c r="H14" s="4" t="n"/>
    </row>
    <row r="15" ht="26" customHeight="1">
      <c r="A15" s="7" t="n">
        <v>4</v>
      </c>
      <c r="B15" s="8" t="inlineStr">
        <is>
          <t>제어반 외함 (Enclosure)</t>
        </is>
      </c>
      <c r="C15" s="3" t="inlineStr">
        <is>
          <t>STEEL, 400×1600×180, 자립/벽부형, 도장·명판</t>
        </is>
      </c>
      <c r="D15" s="7" t="inlineStr">
        <is>
          <t>EA</t>
        </is>
      </c>
      <c r="E15" s="7" t="n">
        <v>1</v>
      </c>
      <c r="F15" s="9" t="n">
        <v>1500000</v>
      </c>
      <c r="G15" s="9">
        <f>E15*F15</f>
        <v/>
      </c>
      <c r="H15" s="10" t="inlineStr">
        <is>
          <t>E13-012 일람</t>
        </is>
      </c>
    </row>
    <row r="16" ht="26" customHeight="1">
      <c r="A16" s="7" t="n">
        <v>5</v>
      </c>
      <c r="B16" s="8" t="inlineStr">
        <is>
          <t>속판 및 내부 마운팅 자재</t>
        </is>
      </c>
      <c r="C16" s="3" t="inlineStr">
        <is>
          <t>속판, 덕트, 레일, 명판</t>
        </is>
      </c>
      <c r="D16" s="7" t="inlineStr">
        <is>
          <t>식</t>
        </is>
      </c>
      <c r="E16" s="7" t="n">
        <v>1</v>
      </c>
      <c r="F16" s="9" t="n">
        <v>350000</v>
      </c>
      <c r="G16" s="9">
        <f>E16*F16</f>
        <v/>
      </c>
      <c r="H16" s="10" t="inlineStr"/>
    </row>
    <row r="17" ht="26" customHeight="1">
      <c r="A17" s="7" t="n">
        <v>6</v>
      </c>
      <c r="B17" s="8" t="inlineStr">
        <is>
          <t>주차단기·회로차단기</t>
        </is>
      </c>
      <c r="C17" s="3" t="inlineStr">
        <is>
          <t>주 MCCB 1 + 회로별 ELB (6회로+예비)</t>
        </is>
      </c>
      <c r="D17" s="7" t="inlineStr">
        <is>
          <t>식</t>
        </is>
      </c>
      <c r="E17" s="7" t="n">
        <v>1</v>
      </c>
      <c r="F17" s="9" t="n">
        <v>700000</v>
      </c>
      <c r="G17" s="9">
        <f>E17*F17</f>
        <v/>
      </c>
      <c r="H17" s="10" t="inlineStr"/>
    </row>
    <row r="18" ht="26" customHeight="1">
      <c r="A18" s="7" t="n">
        <v>7</v>
      </c>
      <c r="B18" s="8" t="inlineStr">
        <is>
          <t>단자대·배선자재·부속</t>
        </is>
      </c>
      <c r="C18" s="3" t="inlineStr">
        <is>
          <t>터미널블록, 제어배선, 압착단자, 마그네트 등</t>
        </is>
      </c>
      <c r="D18" s="7" t="inlineStr">
        <is>
          <t>식</t>
        </is>
      </c>
      <c r="E18" s="7" t="n">
        <v>1</v>
      </c>
      <c r="F18" s="9" t="n">
        <v>550000</v>
      </c>
      <c r="G18" s="9">
        <f>E18*F18</f>
        <v/>
      </c>
      <c r="H18" s="10" t="inlineStr"/>
    </row>
    <row r="19" ht="26" customHeight="1">
      <c r="A19" s="7" t="n">
        <v>8</v>
      </c>
      <c r="B19" s="8" t="inlineStr">
        <is>
          <t>제어반 제작·조립·내부결선</t>
        </is>
      </c>
      <c r="C19" s="3" t="inlineStr">
        <is>
          <t>기기 취부, 내부 결선, 검사</t>
        </is>
      </c>
      <c r="D19" s="7" t="inlineStr">
        <is>
          <t>식</t>
        </is>
      </c>
      <c r="E19" s="7" t="n">
        <v>1</v>
      </c>
      <c r="F19" s="9" t="n">
        <v>900000</v>
      </c>
      <c r="G19" s="9">
        <f>E19*F19</f>
        <v/>
      </c>
      <c r="H19" s="10" t="inlineStr"/>
    </row>
    <row r="20" ht="20" customHeight="1">
      <c r="A20" s="6" t="inlineStr">
        <is>
          <t>3. 중앙감시반 CCMS (501동 경비실)</t>
        </is>
      </c>
      <c r="B20" s="4" t="n"/>
      <c r="C20" s="4" t="n"/>
      <c r="D20" s="4" t="n"/>
      <c r="E20" s="4" t="n"/>
      <c r="F20" s="4" t="n"/>
      <c r="G20" s="4" t="n"/>
      <c r="H20" s="4" t="n"/>
    </row>
    <row r="21" ht="26" customHeight="1">
      <c r="A21" s="7" t="n">
        <v>9</v>
      </c>
      <c r="B21" s="8" t="inlineStr">
        <is>
          <t>관제용 PC</t>
        </is>
      </c>
      <c r="C21" s="3" t="inlineStr">
        <is>
          <t>Intel i5, RAM 32GB, HDD 1TB, Windows 10</t>
        </is>
      </c>
      <c r="D21" s="7" t="inlineStr">
        <is>
          <t>EA</t>
        </is>
      </c>
      <c r="E21" s="7" t="n">
        <v>1</v>
      </c>
      <c r="F21" s="9" t="n">
        <v>1600000</v>
      </c>
      <c r="G21" s="9">
        <f>E21*F21</f>
        <v/>
      </c>
      <c r="H21" s="10" t="inlineStr">
        <is>
          <t>E13-011 사양</t>
        </is>
      </c>
    </row>
    <row r="22" ht="26" customHeight="1">
      <c r="A22" s="7" t="n">
        <v>10</v>
      </c>
      <c r="B22" s="8" t="inlineStr">
        <is>
          <t>24″ LED 모니터</t>
        </is>
      </c>
      <c r="C22" s="3" t="inlineStr">
        <is>
          <t>1920×1080, High Color</t>
        </is>
      </c>
      <c r="D22" s="7" t="inlineStr">
        <is>
          <t>EA</t>
        </is>
      </c>
      <c r="E22" s="7" t="n">
        <v>1</v>
      </c>
      <c r="F22" s="9" t="n">
        <v>250000</v>
      </c>
      <c r="G22" s="9">
        <f>E22*F22</f>
        <v/>
      </c>
      <c r="H22" s="10" t="inlineStr"/>
    </row>
    <row r="23" ht="26" customHeight="1">
      <c r="A23" s="7" t="n">
        <v>11</v>
      </c>
      <c r="B23" s="8" t="inlineStr">
        <is>
          <t>프린터</t>
        </is>
      </c>
      <c r="C23" s="3" t="inlineStr">
        <is>
          <t>경보·리포트 출력용</t>
        </is>
      </c>
      <c r="D23" s="7" t="inlineStr">
        <is>
          <t>EA</t>
        </is>
      </c>
      <c r="E23" s="7" t="n">
        <v>1</v>
      </c>
      <c r="F23" s="9" t="n">
        <v>250000</v>
      </c>
      <c r="G23" s="9">
        <f>E23*F23</f>
        <v/>
      </c>
      <c r="H23" s="10" t="inlineStr"/>
    </row>
    <row r="24" ht="26" customHeight="1">
      <c r="A24" s="7" t="n">
        <v>12</v>
      </c>
      <c r="B24" s="8" t="inlineStr">
        <is>
          <t>HMI 소프트웨어</t>
        </is>
      </c>
      <c r="C24" s="3" t="inlineStr">
        <is>
          <t>조명제어 HMI, GS 인증+BTL 인증, 스케쥴·경보·그래픽·경향분석·자기진단</t>
        </is>
      </c>
      <c r="D24" s="7" t="inlineStr">
        <is>
          <t>식</t>
        </is>
      </c>
      <c r="E24" s="7" t="n">
        <v>1</v>
      </c>
      <c r="F24" s="9" t="n">
        <v>4500000</v>
      </c>
      <c r="G24" s="9">
        <f>E24*F24</f>
        <v/>
      </c>
      <c r="H24" s="10" t="inlineStr">
        <is>
          <t>인증 제품</t>
        </is>
      </c>
    </row>
    <row r="25" ht="26" customHeight="1">
      <c r="A25" s="7" t="n">
        <v>13</v>
      </c>
      <c r="B25" s="8" t="inlineStr">
        <is>
          <t>관제 콘솔 데스크</t>
        </is>
      </c>
      <c r="C25" s="3" t="inlineStr">
        <is>
          <t>경비실 설치대 (옵션)</t>
        </is>
      </c>
      <c r="D25" s="7" t="inlineStr">
        <is>
          <t>식</t>
        </is>
      </c>
      <c r="E25" s="7" t="n">
        <v>1</v>
      </c>
      <c r="F25" s="9" t="n">
        <v>400000</v>
      </c>
      <c r="G25" s="9">
        <f>E25*F25</f>
        <v/>
      </c>
      <c r="H25" s="10" t="inlineStr">
        <is>
          <t>옵션</t>
        </is>
      </c>
    </row>
    <row r="26" ht="20" customHeight="1">
      <c r="A26" s="6" t="inlineStr">
        <is>
          <t>4. 통신·제어 자재 (결선용 / 배관·포설은 전기공사 별도)</t>
        </is>
      </c>
      <c r="B26" s="4" t="n"/>
      <c r="C26" s="4" t="n"/>
      <c r="D26" s="4" t="n"/>
      <c r="E26" s="4" t="n"/>
      <c r="F26" s="4" t="n"/>
      <c r="G26" s="4" t="n"/>
      <c r="H26" s="4" t="n"/>
    </row>
    <row r="27" ht="26" customHeight="1">
      <c r="A27" s="7" t="n">
        <v>14</v>
      </c>
      <c r="B27" s="8" t="inlineStr">
        <is>
          <t>데이터라인 케이블</t>
        </is>
      </c>
      <c r="C27" s="3" t="inlineStr">
        <is>
          <t>F-CVVS 1.5㎟ × 2C (SCU↔LCP, 22C)</t>
        </is>
      </c>
      <c r="D27" s="7" t="inlineStr">
        <is>
          <t>식</t>
        </is>
      </c>
      <c r="E27" s="7" t="n">
        <v>1</v>
      </c>
      <c r="F27" s="9" t="n">
        <v>350000</v>
      </c>
      <c r="G27" s="9">
        <f>E27*F27</f>
        <v/>
      </c>
      <c r="H27" s="10" t="inlineStr">
        <is>
          <t>약 200m 기준</t>
        </is>
      </c>
    </row>
    <row r="28" ht="26" customHeight="1">
      <c r="A28" s="7" t="n">
        <v>15</v>
      </c>
      <c r="B28" s="8" t="inlineStr">
        <is>
          <t>0-10V 디밍 통신선</t>
        </is>
      </c>
      <c r="C28" s="3" t="inlineStr">
        <is>
          <t>AWG18 (UL2095, 2C), 16C</t>
        </is>
      </c>
      <c r="D28" s="7" t="inlineStr">
        <is>
          <t>식</t>
        </is>
      </c>
      <c r="E28" s="7" t="n">
        <v>1</v>
      </c>
      <c r="F28" s="9" t="n">
        <v>300000</v>
      </c>
      <c r="G28" s="9">
        <f>E28*F28</f>
        <v/>
      </c>
      <c r="H28" s="10" t="inlineStr">
        <is>
          <t>안정기 구간</t>
        </is>
      </c>
    </row>
    <row r="29" ht="26" customHeight="1">
      <c r="A29" s="7" t="n">
        <v>16</v>
      </c>
      <c r="B29" s="8" t="inlineStr">
        <is>
          <t>제어반 전원선</t>
        </is>
      </c>
      <c r="C29" s="3" t="inlineStr">
        <is>
          <t>F-CV 2.5㎟ × 3C / HFIX 2.5㎟</t>
        </is>
      </c>
      <c r="D29" s="7" t="inlineStr">
        <is>
          <t>식</t>
        </is>
      </c>
      <c r="E29" s="7" t="n">
        <v>1</v>
      </c>
      <c r="F29" s="9" t="n">
        <v>200000</v>
      </c>
      <c r="G29" s="9">
        <f>E29*F29</f>
        <v/>
      </c>
      <c r="H29" s="10" t="inlineStr"/>
    </row>
    <row r="30" ht="26" customHeight="1">
      <c r="A30" s="7" t="n">
        <v>17</v>
      </c>
      <c r="B30" s="8" t="inlineStr">
        <is>
          <t>단자·성단·소모 자재</t>
        </is>
      </c>
      <c r="C30" s="3" t="inlineStr">
        <is>
          <t>압착단자, 케이블타이, 마킹 등</t>
        </is>
      </c>
      <c r="D30" s="7" t="inlineStr">
        <is>
          <t>식</t>
        </is>
      </c>
      <c r="E30" s="7" t="n">
        <v>1</v>
      </c>
      <c r="F30" s="9" t="n">
        <v>200000</v>
      </c>
      <c r="G30" s="9">
        <f>E30*F30</f>
        <v/>
      </c>
      <c r="H30" s="10" t="inlineStr"/>
    </row>
    <row r="31" ht="20" customHeight="1">
      <c r="A31" s="6" t="inlineStr">
        <is>
          <t>5. 설치·용역 (Installation &amp; Service)</t>
        </is>
      </c>
      <c r="B31" s="4" t="n"/>
      <c r="C31" s="4" t="n"/>
      <c r="D31" s="4" t="n"/>
      <c r="E31" s="4" t="n"/>
      <c r="F31" s="4" t="n"/>
      <c r="G31" s="4" t="n"/>
      <c r="H31" s="4" t="n"/>
    </row>
    <row r="32" ht="26" customHeight="1">
      <c r="A32" s="7" t="n">
        <v>18</v>
      </c>
      <c r="B32" s="8" t="inlineStr">
        <is>
          <t>조명제어 기기 셋팅·프로그래밍</t>
        </is>
      </c>
      <c r="C32" s="3" t="inlineStr">
        <is>
          <t>SCU/디밍모듈/전원 파라미터, 그룹·씬·스케쥴(41등/6회로)</t>
        </is>
      </c>
      <c r="D32" s="7" t="inlineStr">
        <is>
          <t>식</t>
        </is>
      </c>
      <c r="E32" s="7" t="n">
        <v>1</v>
      </c>
      <c r="F32" s="9" t="n">
        <v>1500000</v>
      </c>
      <c r="G32" s="9">
        <f>E32*F32</f>
        <v/>
      </c>
      <c r="H32" s="10" t="inlineStr"/>
    </row>
    <row r="33" ht="26" customHeight="1">
      <c r="A33" s="7" t="n">
        <v>19</v>
      </c>
      <c r="B33" s="8" t="inlineStr">
        <is>
          <t>기기 신호선 결선</t>
        </is>
      </c>
      <c r="C33" s="3" t="inlineStr">
        <is>
          <t>DIM1~8 / R1~8 / ETLC LINE / 24VAC 결선</t>
        </is>
      </c>
      <c r="D33" s="7" t="inlineStr">
        <is>
          <t>식</t>
        </is>
      </c>
      <c r="E33" s="7" t="n">
        <v>1</v>
      </c>
      <c r="F33" s="9" t="n">
        <v>800000</v>
      </c>
      <c r="G33" s="9">
        <f>E33*F33</f>
        <v/>
      </c>
      <c r="H33" s="10" t="inlineStr"/>
    </row>
    <row r="34" ht="26" customHeight="1">
      <c r="A34" s="7" t="n">
        <v>20</v>
      </c>
      <c r="B34" s="8" t="inlineStr">
        <is>
          <t>0-10V 통신라인 결선</t>
        </is>
      </c>
      <c r="C34" s="3" t="inlineStr">
        <is>
          <t>디밍모듈↔안정기 결선·성단</t>
        </is>
      </c>
      <c r="D34" s="7" t="inlineStr">
        <is>
          <t>식</t>
        </is>
      </c>
      <c r="E34" s="7" t="n">
        <v>1</v>
      </c>
      <c r="F34" s="9" t="n">
        <v>600000</v>
      </c>
      <c r="G34" s="9">
        <f>E34*F34</f>
        <v/>
      </c>
      <c r="H34" s="10" t="inlineStr"/>
    </row>
    <row r="35" ht="26" customHeight="1">
      <c r="A35" s="7" t="n">
        <v>21</v>
      </c>
      <c r="B35" s="8" t="inlineStr">
        <is>
          <t>CCMS HMI 그래픽 작성·포인트 설정</t>
        </is>
      </c>
      <c r="C35" s="3" t="inlineStr">
        <is>
          <t>단지 배치도 그래픽, 포인트 매핑, 경보·로깅 설정</t>
        </is>
      </c>
      <c r="D35" s="7" t="inlineStr">
        <is>
          <t>식</t>
        </is>
      </c>
      <c r="E35" s="7" t="n">
        <v>1</v>
      </c>
      <c r="F35" s="9" t="n">
        <v>1800000</v>
      </c>
      <c r="G35" s="9">
        <f>E35*F35</f>
        <v/>
      </c>
      <c r="H35" s="10" t="inlineStr"/>
    </row>
    <row r="36" ht="26" customHeight="1">
      <c r="A36" s="7" t="n">
        <v>22</v>
      </c>
      <c r="B36" s="8" t="inlineStr">
        <is>
          <t>시스템 통합시험·시운전(T&amp;C)</t>
        </is>
      </c>
      <c r="C36" s="3" t="inlineStr">
        <is>
          <t>회로별 조광·스케쥴 검증, 통합 시운전</t>
        </is>
      </c>
      <c r="D36" s="7" t="inlineStr">
        <is>
          <t>식</t>
        </is>
      </c>
      <c r="E36" s="7" t="n">
        <v>1</v>
      </c>
      <c r="F36" s="9" t="n">
        <v>1200000</v>
      </c>
      <c r="G36" s="9">
        <f>E36*F36</f>
        <v/>
      </c>
      <c r="H36" s="10" t="inlineStr"/>
    </row>
    <row r="37" ht="26" customHeight="1">
      <c r="A37" s="7" t="n">
        <v>23</v>
      </c>
      <c r="B37" s="8" t="inlineStr">
        <is>
          <t>운영자 교육</t>
        </is>
      </c>
      <c r="C37" s="3" t="inlineStr">
        <is>
          <t>경비실 운영자 사용 교육, 매뉴얼 제공</t>
        </is>
      </c>
      <c r="D37" s="7" t="inlineStr">
        <is>
          <t>식</t>
        </is>
      </c>
      <c r="E37" s="7" t="n">
        <v>1</v>
      </c>
      <c r="F37" s="9" t="n">
        <v>300000</v>
      </c>
      <c r="G37" s="9">
        <f>E37*F37</f>
        <v/>
      </c>
      <c r="H37" s="10" t="inlineStr"/>
    </row>
    <row r="38" ht="20" customHeight="1">
      <c r="A38" s="6" t="inlineStr">
        <is>
          <t>6. 기타 (Others)</t>
        </is>
      </c>
      <c r="B38" s="4" t="n"/>
      <c r="C38" s="4" t="n"/>
      <c r="D38" s="4" t="n"/>
      <c r="E38" s="4" t="n"/>
      <c r="F38" s="4" t="n"/>
      <c r="G38" s="4" t="n"/>
      <c r="H38" s="4" t="n"/>
    </row>
    <row r="39" ht="26" customHeight="1">
      <c r="A39" s="7" t="n">
        <v>24</v>
      </c>
      <c r="B39" s="8" t="inlineStr">
        <is>
          <t>준공도서·시험성적서·인증서</t>
        </is>
      </c>
      <c r="C39" s="3" t="inlineStr">
        <is>
          <t>준공도서, 시험성적서, 인증서 사본</t>
        </is>
      </c>
      <c r="D39" s="7" t="inlineStr">
        <is>
          <t>식</t>
        </is>
      </c>
      <c r="E39" s="7" t="n">
        <v>1</v>
      </c>
      <c r="F39" s="9" t="n">
        <v>300000</v>
      </c>
      <c r="G39" s="9">
        <f>E39*F39</f>
        <v/>
      </c>
      <c r="H39" s="10" t="inlineStr"/>
    </row>
    <row r="40" ht="26" customHeight="1">
      <c r="A40" s="7" t="n">
        <v>25</v>
      </c>
      <c r="B40" s="8" t="inlineStr">
        <is>
          <t>운반비</t>
        </is>
      </c>
      <c r="C40" s="3" t="inlineStr">
        <is>
          <t>기기·제어반 부산 현장 운송</t>
        </is>
      </c>
      <c r="D40" s="7" t="inlineStr">
        <is>
          <t>식</t>
        </is>
      </c>
      <c r="E40" s="7" t="n">
        <v>1</v>
      </c>
      <c r="F40" s="9" t="n">
        <v>400000</v>
      </c>
      <c r="G40" s="9">
        <f>E40*F40</f>
        <v/>
      </c>
      <c r="H40" s="10" t="inlineStr"/>
    </row>
    <row r="41" ht="26" customHeight="1">
      <c r="A41" s="7" t="n">
        <v>26</v>
      </c>
      <c r="B41" s="8" t="inlineStr">
        <is>
          <t>출장·숙박비</t>
        </is>
      </c>
      <c r="C41" s="3" t="inlineStr">
        <is>
          <t>시공·시운전 출장 (부산)</t>
        </is>
      </c>
      <c r="D41" s="7" t="inlineStr">
        <is>
          <t>식</t>
        </is>
      </c>
      <c r="E41" s="7" t="n">
        <v>1</v>
      </c>
      <c r="F41" s="9" t="n">
        <v>600000</v>
      </c>
      <c r="G41" s="9">
        <f>E41*F41</f>
        <v/>
      </c>
      <c r="H41" s="10" t="inlineStr"/>
    </row>
    <row r="42" ht="26" customHeight="1">
      <c r="A42" s="7" t="n">
        <v>27</v>
      </c>
      <c r="B42" s="8" t="inlineStr">
        <is>
          <t>예비품 (Spare)</t>
        </is>
      </c>
      <c r="C42" s="3" t="inlineStr">
        <is>
          <t>디밍 예비 2회로분·퓨즈·소모품</t>
        </is>
      </c>
      <c r="D42" s="7" t="inlineStr">
        <is>
          <t>식</t>
        </is>
      </c>
      <c r="E42" s="7" t="n">
        <v>1</v>
      </c>
      <c r="F42" s="9" t="n">
        <v>400000</v>
      </c>
      <c r="G42" s="9">
        <f>E42*F42</f>
        <v/>
      </c>
      <c r="H42" s="10" t="inlineStr"/>
    </row>
    <row r="43" ht="22" customHeight="1">
      <c r="A43" s="11" t="inlineStr">
        <is>
          <t>직접비 소계 (①)</t>
        </is>
      </c>
      <c r="B43" s="12" t="n"/>
      <c r="C43" s="12" t="n"/>
      <c r="D43" s="12" t="n"/>
      <c r="E43" s="12" t="n"/>
      <c r="F43" s="12" t="n"/>
      <c r="G43" s="13">
        <f>SUM(G11:G42)</f>
        <v/>
      </c>
      <c r="H43" s="12" t="n"/>
    </row>
    <row r="44" ht="22" customHeight="1">
      <c r="A44" s="14" t="inlineStr">
        <is>
          <t>일반관리비 (② = ① × 5%)</t>
        </is>
      </c>
      <c r="B44" s="4" t="n"/>
      <c r="C44" s="4" t="n"/>
      <c r="D44" s="4" t="n"/>
      <c r="E44" s="4" t="n"/>
      <c r="F44" s="4" t="n"/>
      <c r="G44" s="15">
        <f>ROUND(G43*0.05,0)</f>
        <v/>
      </c>
      <c r="H44" s="4" t="n"/>
    </row>
    <row r="45" ht="22" customHeight="1">
      <c r="A45" s="14" t="inlineStr">
        <is>
          <t>이윤 (③ = (①+②) × 10%)</t>
        </is>
      </c>
      <c r="B45" s="4" t="n"/>
      <c r="C45" s="4" t="n"/>
      <c r="D45" s="4" t="n"/>
      <c r="E45" s="4" t="n"/>
      <c r="F45" s="4" t="n"/>
      <c r="G45" s="15">
        <f>ROUND((G43+G44)*0.10,0)</f>
        <v/>
      </c>
      <c r="H45" s="4" t="n"/>
    </row>
    <row r="46" ht="22" customHeight="1">
      <c r="A46" s="11" t="inlineStr">
        <is>
          <t>공급가액 (④ = ①+②+③)</t>
        </is>
      </c>
      <c r="B46" s="12" t="n"/>
      <c r="C46" s="12" t="n"/>
      <c r="D46" s="12" t="n"/>
      <c r="E46" s="12" t="n"/>
      <c r="F46" s="12" t="n"/>
      <c r="G46" s="13">
        <f>G43+G44+G45</f>
        <v/>
      </c>
      <c r="H46" s="12" t="n"/>
    </row>
    <row r="47" ht="22" customHeight="1">
      <c r="A47" s="14" t="inlineStr">
        <is>
          <t>부가가치세 (⑤ = ④ × 10%)</t>
        </is>
      </c>
      <c r="B47" s="4" t="n"/>
      <c r="C47" s="4" t="n"/>
      <c r="D47" s="4" t="n"/>
      <c r="E47" s="4" t="n"/>
      <c r="F47" s="4" t="n"/>
      <c r="G47" s="15">
        <f>ROUND(G46*0.10,0)</f>
        <v/>
      </c>
      <c r="H47" s="4" t="n"/>
    </row>
    <row r="48" ht="22" customHeight="1">
      <c r="A48" s="16" t="inlineStr">
        <is>
          <t>총 합계 금액 (④+⑤, VAT 포함)</t>
        </is>
      </c>
      <c r="B48" s="17" t="n"/>
      <c r="C48" s="17" t="n"/>
      <c r="D48" s="17" t="n"/>
      <c r="E48" s="17" t="n"/>
      <c r="F48" s="17" t="n"/>
      <c r="G48" s="18">
        <f>G46+G47</f>
        <v/>
      </c>
      <c r="H48" s="17" t="n"/>
    </row>
    <row r="50" ht="18" customHeight="1">
      <c r="A50" s="19" t="inlineStr">
        <is>
          <t>※ 견적 조건</t>
        </is>
      </c>
    </row>
    <row r="51" ht="18" customHeight="1">
      <c r="A51" s="20" t="inlineStr">
        <is>
          <t>1. 본 견적은 「E13-011~013 보안등 조명제어 상세도」 기준 UTTEC(조명제어공사) 범위 산출입니다.</t>
        </is>
      </c>
    </row>
    <row r="52" ht="18" customHeight="1">
      <c r="A52" s="20" t="inlineStr">
        <is>
          <t>2. 제외 범위: 신호선 배관·전선 포설·전원공사(전기공사), 등기구 및 0-10V 조광 안정기(등기구 업체).</t>
        </is>
      </c>
    </row>
    <row r="53" ht="18" customHeight="1">
      <c r="A53" s="20" t="inlineStr">
        <is>
          <t>3. 제어반 외함 SIZE(400×1600×180)는 현장 여건에 따라 변경될 수 있으며, 이 경우 금액 조정됩니다.</t>
        </is>
      </c>
    </row>
    <row r="54" ht="18" customHeight="1">
      <c r="A54" s="20" t="inlineStr">
        <is>
          <t>4. 등기구 조광 방식(0-10V / DALI) 확정 및 현장 실사 후 최종 금액이 확정됩니다.</t>
        </is>
      </c>
    </row>
    <row r="55" ht="18" customHeight="1">
      <c r="A55" s="20" t="inlineStr">
        <is>
          <t>5. 상기 단가는 제안 기준가이며, 세부 사양·수량 확정 및 발주 조건에 따라 협의 조정 가능합니다.</t>
        </is>
      </c>
    </row>
    <row r="56" ht="18" customHeight="1">
      <c r="A56" s="20" t="inlineStr">
        <is>
          <t>6. 유효기간: 견적일로부터 30일. 결제 조건 및 하자보증(1년)은 계약 시 협의합니다.</t>
        </is>
      </c>
    </row>
  </sheetData>
  <mergeCells count="36">
    <mergeCell ref="A46:F46"/>
    <mergeCell ref="H47"/>
    <mergeCell ref="B6:E6"/>
    <mergeCell ref="A51:H51"/>
    <mergeCell ref="H48"/>
    <mergeCell ref="B5:E5"/>
    <mergeCell ref="A1:H1"/>
    <mergeCell ref="A47:F47"/>
    <mergeCell ref="B4:E4"/>
    <mergeCell ref="G7:H7"/>
    <mergeCell ref="A54:H54"/>
    <mergeCell ref="B7:E7"/>
    <mergeCell ref="H43"/>
    <mergeCell ref="B3:E3"/>
    <mergeCell ref="G6:H6"/>
    <mergeCell ref="G3:H3"/>
    <mergeCell ref="A43:F43"/>
    <mergeCell ref="H44"/>
    <mergeCell ref="A50:H50"/>
    <mergeCell ref="A56:H56"/>
    <mergeCell ref="A26:H26"/>
    <mergeCell ref="A55:H55"/>
    <mergeCell ref="A44:F44"/>
    <mergeCell ref="G5:H5"/>
    <mergeCell ref="A14:H14"/>
    <mergeCell ref="A48:F48"/>
    <mergeCell ref="H46"/>
    <mergeCell ref="G4:H4"/>
    <mergeCell ref="A53:H53"/>
    <mergeCell ref="A20:H20"/>
    <mergeCell ref="A38:H38"/>
    <mergeCell ref="A45:F45"/>
    <mergeCell ref="A52:H52"/>
    <mergeCell ref="A10:H10"/>
    <mergeCell ref="H45"/>
    <mergeCell ref="A31:H31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2026-07-23T19:30:20Z</dcterms:created>
  <dcterms:modified xmlns:dcterms="http://purl.org/dc/terms/" xmlns:xsi="http://www.w3.org/2001/XMLSchema-instance" xsi:type="dcterms:W3CDTF">2026-07-23T19:30:20Z</dcterms:modified>
</cp:coreProperties>
</file>